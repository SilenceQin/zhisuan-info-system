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 activeTab="1"/>
  </bookViews>
  <sheets>
    <sheet name="芯片数据" sheetId="1" r:id="rId1"/>
    <sheet name="服务器数据" sheetId="2" r:id="rId2"/>
    <sheet name="超节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<sst xmlns="http://schemas.openxmlformats.org/spreadsheetml/2006/main" count="232" uniqueCount="94">
  <si>
    <t>序号</t>
  </si>
  <si>
    <t>芯片型号</t>
  </si>
  <si>
    <t>产品形态</t>
  </si>
  <si>
    <t>上市时间</t>
  </si>
  <si>
    <t>芯片厂商</t>
  </si>
  <si>
    <t>显存（G）</t>
  </si>
  <si>
    <t>显存类型</t>
  </si>
  <si>
    <t>算力(P@FP4)</t>
  </si>
  <si>
    <t>算力(P@FP8)</t>
  </si>
  <si>
    <t>算力(P@FP16)</t>
  </si>
  <si>
    <t>算力(P@FP32)</t>
  </si>
  <si>
    <t>算力(P@FP64)</t>
  </si>
  <si>
    <t>芯片功耗TDP（W）</t>
  </si>
  <si>
    <t>芯片架构</t>
  </si>
  <si>
    <t>显存带宽（TB/s）</t>
  </si>
  <si>
    <t>GPU互联</t>
  </si>
  <si>
    <t>GPU互联速率（GB/s）</t>
  </si>
  <si>
    <t>B200</t>
  </si>
  <si>
    <t>SXM</t>
  </si>
  <si>
    <t>英伟达</t>
  </si>
  <si>
    <t>HBM3e</t>
  </si>
  <si>
    <t>Blackwell</t>
  </si>
  <si>
    <t>NVlink</t>
  </si>
  <si>
    <t>B300</t>
  </si>
  <si>
    <t>GB200</t>
  </si>
  <si>
    <t>GB300</t>
  </si>
  <si>
    <t>H200</t>
  </si>
  <si>
    <t>Hopper</t>
  </si>
  <si>
    <t>H20标准款</t>
  </si>
  <si>
    <t>HBM3</t>
  </si>
  <si>
    <t>H20大显存</t>
  </si>
  <si>
    <t>RTX 4090</t>
  </si>
  <si>
    <t>PCIe</t>
  </si>
  <si>
    <t>GDDR6x</t>
  </si>
  <si>
    <t>Ada</t>
  </si>
  <si>
    <t>RTX 4090D</t>
  </si>
  <si>
    <t>RTX 5090</t>
  </si>
  <si>
    <t>PCIe 5.0</t>
  </si>
  <si>
    <t>GDDR7</t>
  </si>
  <si>
    <t>5090D</t>
  </si>
  <si>
    <t>H100</t>
  </si>
  <si>
    <t>H800</t>
  </si>
  <si>
    <t>RTX PRO 6000</t>
  </si>
  <si>
    <t>A100</t>
  </si>
  <si>
    <t>HBM2e</t>
  </si>
  <si>
    <t>Ampere</t>
  </si>
  <si>
    <t>A800</t>
  </si>
  <si>
    <t>950PR</t>
  </si>
  <si>
    <t>OAM</t>
  </si>
  <si>
    <t>910C</t>
  </si>
  <si>
    <t>华为</t>
  </si>
  <si>
    <t xml:space="preserve">HCCS </t>
  </si>
  <si>
    <t>910B</t>
  </si>
  <si>
    <t>BW1000</t>
  </si>
  <si>
    <t>海光</t>
  </si>
  <si>
    <t>xHCL</t>
  </si>
  <si>
    <t>S5000</t>
  </si>
  <si>
    <t>摩尔线程</t>
  </si>
  <si>
    <t>MLU590</t>
  </si>
  <si>
    <t>寒武纪</t>
  </si>
  <si>
    <t>MI355X</t>
  </si>
  <si>
    <t>AMD</t>
  </si>
  <si>
    <t>服务器名称</t>
  </si>
  <si>
    <t>厂商</t>
  </si>
  <si>
    <t>芯片</t>
  </si>
  <si>
    <t>GPU卡数</t>
  </si>
  <si>
    <t>服务器高度（U）</t>
  </si>
  <si>
    <t>服务器算力（P@FP16）</t>
  </si>
  <si>
    <t>服务器功率（kW）</t>
  </si>
  <si>
    <t>服务器制冷方式</t>
  </si>
  <si>
    <t>备注</t>
  </si>
  <si>
    <t>910C服务器-推理</t>
  </si>
  <si>
    <t>风冷</t>
  </si>
  <si>
    <t>单机版本一般选用此版本</t>
  </si>
  <si>
    <t>910C服务器-超节点单台</t>
  </si>
  <si>
    <t>BW1000服务器</t>
  </si>
  <si>
    <t>液冷/风冷</t>
  </si>
  <si>
    <t>S5000服务器</t>
  </si>
  <si>
    <t>B300服务器</t>
  </si>
  <si>
    <t>风冷和液冷功率略有不同</t>
  </si>
  <si>
    <t>H200服务器</t>
  </si>
  <si>
    <t>H20服务器</t>
  </si>
  <si>
    <t>H20</t>
  </si>
  <si>
    <t>4090服务器</t>
  </si>
  <si>
    <t>超节点名称</t>
  </si>
  <si>
    <t>节点规模</t>
  </si>
  <si>
    <t>单compute tray/服务器GPU卡数</t>
  </si>
  <si>
    <t>compute tray/节点服务器数量</t>
  </si>
  <si>
    <t>compute tray/服务器算力（P@FP16）</t>
  </si>
  <si>
    <t>节点算力</t>
  </si>
  <si>
    <t>单柜功率（kW）</t>
  </si>
  <si>
    <t>910C超节点</t>
  </si>
  <si>
    <t>液冷</t>
  </si>
  <si>
    <t>GB300-NVL72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</si>
</sst>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2"/>
      <name val="仿宋_GB2312"/>
      <charset val="0"/>
    </font>
    <font>
      <sz val="12"/>
      <color rgb="FFFF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workbookViewId="0">
      <pane ySplit="1" topLeftCell="A2" activePane="bottomLeft" state="frozen"/>
      <selection/>
      <selection pane="bottomLeft" activeCell="A22" sqref="$A22:$XFD22"/>
    </sheetView>
  </sheetViews>
  <sheetFormatPr defaultColWidth="9.23076923076923" defaultRowHeight="17.6"/>
  <cols>
    <col min="1" max="1" width="9.23076923076923" style="3"/>
    <col min="2" max="3" width="25.6442307692308" style="3" customWidth="1"/>
    <col min="4" max="5" width="11" style="3" customWidth="1"/>
    <col min="6" max="7" width="12.3076923076923" style="3" customWidth="1"/>
    <col min="8" max="9" width="14.9230769230769" style="3" customWidth="1"/>
    <col min="10" max="12" width="16.2307692307692" style="3" customWidth="1"/>
    <col min="13" max="13" width="21.3846153846154" style="3" customWidth="1"/>
    <col min="14" max="14" width="15.5480769230769" style="3" customWidth="1"/>
    <col min="15" max="15" width="21.3846153846154" style="3" customWidth="1"/>
    <col min="16" max="16" width="9.76923076923077" style="3" customWidth="1"/>
    <col min="17" max="17" width="25.3076923076923" style="3" customWidth="1"/>
    <col min="18" max="16384" width="9.23076923076923" style="3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18" spans="1:17">
      <c r="A2" s="4">
        <v>1</v>
      </c>
      <c r="B2" s="4" t="s">
        <v>17</v>
      </c>
      <c r="C2" s="5" t="s">
        <v>18</v>
      </c>
      <c r="D2" s="4">
        <v>2024</v>
      </c>
      <c r="E2" s="4" t="s">
        <v>19</v>
      </c>
      <c r="F2" s="4">
        <v>180</v>
      </c>
      <c r="G2" s="4" t="s">
        <v>20</v>
      </c>
      <c r="H2" s="4">
        <v>9</v>
      </c>
      <c r="I2" s="4">
        <v>4.5</v>
      </c>
      <c r="J2" s="4">
        <v>2.25</v>
      </c>
      <c r="K2" s="4">
        <v>1.12</v>
      </c>
      <c r="L2" s="4">
        <v>0.037</v>
      </c>
      <c r="M2" s="4">
        <v>1000</v>
      </c>
      <c r="N2" s="5" t="s">
        <v>21</v>
      </c>
      <c r="O2" s="4">
        <v>7.7</v>
      </c>
      <c r="P2" s="5" t="s">
        <v>22</v>
      </c>
      <c r="Q2" s="4">
        <v>1800</v>
      </c>
    </row>
    <row r="3" ht="18" spans="1:17">
      <c r="A3" s="4">
        <v>2</v>
      </c>
      <c r="B3" s="4" t="s">
        <v>23</v>
      </c>
      <c r="C3" s="5" t="s">
        <v>18</v>
      </c>
      <c r="D3" s="4">
        <v>2025</v>
      </c>
      <c r="E3" s="4" t="s">
        <v>19</v>
      </c>
      <c r="F3" s="4">
        <v>180</v>
      </c>
      <c r="G3" s="4" t="s">
        <v>20</v>
      </c>
      <c r="H3" s="4">
        <v>14</v>
      </c>
      <c r="I3" s="4">
        <v>4.5</v>
      </c>
      <c r="J3" s="4">
        <v>2.25</v>
      </c>
      <c r="K3" s="4">
        <v>1.25</v>
      </c>
      <c r="L3" s="4">
        <v>0.0012</v>
      </c>
      <c r="M3" s="4">
        <v>1200</v>
      </c>
      <c r="N3" s="5" t="s">
        <v>21</v>
      </c>
      <c r="O3" s="4">
        <v>8</v>
      </c>
      <c r="P3" s="5" t="s">
        <v>22</v>
      </c>
      <c r="Q3" s="4">
        <v>1800</v>
      </c>
    </row>
    <row r="4" ht="18" spans="1:17">
      <c r="A4" s="4">
        <v>3</v>
      </c>
      <c r="B4" s="4" t="s">
        <v>24</v>
      </c>
      <c r="C4" s="5" t="s">
        <v>18</v>
      </c>
      <c r="D4" s="4">
        <v>2024</v>
      </c>
      <c r="E4" s="4" t="s">
        <v>19</v>
      </c>
      <c r="F4" s="4">
        <v>270</v>
      </c>
      <c r="G4" s="4" t="s">
        <v>20</v>
      </c>
      <c r="H4" s="4">
        <v>10</v>
      </c>
      <c r="I4" s="4">
        <v>5</v>
      </c>
      <c r="J4" s="4">
        <v>2.5</v>
      </c>
      <c r="K4" s="4">
        <v>1.1</v>
      </c>
      <c r="L4" s="4">
        <v>0.04</v>
      </c>
      <c r="M4" s="4">
        <v>1100</v>
      </c>
      <c r="N4" s="5" t="s">
        <v>21</v>
      </c>
      <c r="O4" s="4">
        <v>7.7</v>
      </c>
      <c r="P4" s="5" t="s">
        <v>22</v>
      </c>
      <c r="Q4" s="4">
        <v>1800</v>
      </c>
    </row>
    <row r="5" ht="18" spans="1:17">
      <c r="A5" s="4">
        <v>4</v>
      </c>
      <c r="B5" s="4" t="s">
        <v>25</v>
      </c>
      <c r="C5" s="5" t="s">
        <v>18</v>
      </c>
      <c r="D5" s="4">
        <v>2025</v>
      </c>
      <c r="E5" s="4" t="s">
        <v>19</v>
      </c>
      <c r="F5" s="4">
        <v>279</v>
      </c>
      <c r="G5" s="4" t="s">
        <v>20</v>
      </c>
      <c r="H5" s="4">
        <v>15</v>
      </c>
      <c r="I5" s="4">
        <v>5</v>
      </c>
      <c r="J5" s="4">
        <v>2.5</v>
      </c>
      <c r="K5" s="4">
        <v>1.25</v>
      </c>
      <c r="L5" s="4">
        <v>0.0013</v>
      </c>
      <c r="M5" s="4">
        <v>1400</v>
      </c>
      <c r="N5" s="5" t="s">
        <v>21</v>
      </c>
      <c r="O5" s="4">
        <v>8</v>
      </c>
      <c r="P5" s="5" t="s">
        <v>22</v>
      </c>
      <c r="Q5" s="4">
        <v>1800</v>
      </c>
    </row>
    <row r="6" ht="18" spans="1:17">
      <c r="A6" s="4">
        <v>5</v>
      </c>
      <c r="B6" s="5" t="s">
        <v>26</v>
      </c>
      <c r="C6" s="5" t="s">
        <v>18</v>
      </c>
      <c r="D6" s="4">
        <v>2023</v>
      </c>
      <c r="E6" s="4" t="s">
        <v>19</v>
      </c>
      <c r="F6" s="4">
        <v>141</v>
      </c>
      <c r="G6" s="4" t="s">
        <v>20</v>
      </c>
      <c r="H6" s="4"/>
      <c r="I6" s="6">
        <v>1.979</v>
      </c>
      <c r="J6" s="4">
        <v>0.989</v>
      </c>
      <c r="K6" s="4">
        <v>0.495</v>
      </c>
      <c r="L6" s="4">
        <v>0.067</v>
      </c>
      <c r="M6" s="5">
        <v>700</v>
      </c>
      <c r="N6" s="5" t="s">
        <v>27</v>
      </c>
      <c r="O6" s="5">
        <v>4.8</v>
      </c>
      <c r="P6" s="5" t="s">
        <v>22</v>
      </c>
      <c r="Q6" s="5">
        <v>900</v>
      </c>
    </row>
    <row r="7" ht="18" spans="1:17">
      <c r="A7" s="4">
        <v>6</v>
      </c>
      <c r="B7" s="5" t="s">
        <v>28</v>
      </c>
      <c r="C7" s="5" t="s">
        <v>18</v>
      </c>
      <c r="D7" s="4">
        <v>2023</v>
      </c>
      <c r="E7" s="4" t="s">
        <v>19</v>
      </c>
      <c r="F7" s="4">
        <v>96</v>
      </c>
      <c r="G7" s="4" t="s">
        <v>29</v>
      </c>
      <c r="H7" s="4"/>
      <c r="I7" s="4">
        <v>0.296</v>
      </c>
      <c r="J7" s="4">
        <v>0.148</v>
      </c>
      <c r="K7" s="4">
        <v>0.0598</v>
      </c>
      <c r="L7" s="4"/>
      <c r="M7" s="5">
        <v>400</v>
      </c>
      <c r="N7" s="5" t="s">
        <v>27</v>
      </c>
      <c r="O7" s="5">
        <v>4</v>
      </c>
      <c r="P7" s="5" t="s">
        <v>22</v>
      </c>
      <c r="Q7" s="5">
        <v>900</v>
      </c>
    </row>
    <row r="8" ht="18" spans="1:17">
      <c r="A8" s="4">
        <v>7</v>
      </c>
      <c r="B8" s="5" t="s">
        <v>30</v>
      </c>
      <c r="C8" s="5" t="s">
        <v>18</v>
      </c>
      <c r="D8" s="4">
        <v>2025</v>
      </c>
      <c r="E8" s="4" t="s">
        <v>19</v>
      </c>
      <c r="F8" s="4">
        <v>141</v>
      </c>
      <c r="G8" s="4" t="s">
        <v>20</v>
      </c>
      <c r="H8" s="4"/>
      <c r="I8" s="4">
        <v>0.296</v>
      </c>
      <c r="J8" s="4">
        <v>0.148</v>
      </c>
      <c r="K8" s="4">
        <v>0.0598</v>
      </c>
      <c r="L8" s="4"/>
      <c r="M8" s="5">
        <v>400</v>
      </c>
      <c r="N8" s="5" t="s">
        <v>27</v>
      </c>
      <c r="O8" s="5">
        <v>4.8</v>
      </c>
      <c r="P8" s="5" t="s">
        <v>22</v>
      </c>
      <c r="Q8" s="5">
        <v>900</v>
      </c>
    </row>
    <row r="9" ht="18" spans="1:17">
      <c r="A9" s="4">
        <v>8</v>
      </c>
      <c r="B9" s="5" t="s">
        <v>31</v>
      </c>
      <c r="C9" s="5" t="s">
        <v>32</v>
      </c>
      <c r="D9" s="4">
        <v>2022</v>
      </c>
      <c r="E9" s="4" t="s">
        <v>19</v>
      </c>
      <c r="F9" s="7">
        <v>24</v>
      </c>
      <c r="G9" s="4" t="s">
        <v>33</v>
      </c>
      <c r="H9" s="4"/>
      <c r="I9" s="4"/>
      <c r="J9" s="4">
        <v>0.165</v>
      </c>
      <c r="K9" s="4">
        <v>0.0826</v>
      </c>
      <c r="L9" s="4"/>
      <c r="M9" s="5">
        <v>450</v>
      </c>
      <c r="N9" s="5" t="s">
        <v>34</v>
      </c>
      <c r="O9" s="5">
        <v>1</v>
      </c>
      <c r="P9" s="5" t="s">
        <v>32</v>
      </c>
      <c r="Q9" s="5">
        <v>64</v>
      </c>
    </row>
    <row r="10" ht="18" spans="1:17">
      <c r="A10" s="4">
        <v>9</v>
      </c>
      <c r="B10" s="5" t="s">
        <v>35</v>
      </c>
      <c r="C10" s="5" t="s">
        <v>32</v>
      </c>
      <c r="D10" s="4">
        <v>2023</v>
      </c>
      <c r="E10" s="4" t="s">
        <v>19</v>
      </c>
      <c r="F10" s="7">
        <v>24</v>
      </c>
      <c r="G10" s="4" t="s">
        <v>33</v>
      </c>
      <c r="H10" s="4"/>
      <c r="I10" s="4"/>
      <c r="J10" s="4">
        <v>0.147</v>
      </c>
      <c r="K10" s="4">
        <v>0.07354</v>
      </c>
      <c r="L10" s="4"/>
      <c r="M10" s="5">
        <v>425</v>
      </c>
      <c r="N10" s="5" t="s">
        <v>34</v>
      </c>
      <c r="O10" s="5">
        <v>1</v>
      </c>
      <c r="P10" s="5" t="s">
        <v>32</v>
      </c>
      <c r="Q10" s="5">
        <v>64</v>
      </c>
    </row>
    <row r="11" ht="18" spans="1:17">
      <c r="A11" s="4">
        <v>10</v>
      </c>
      <c r="B11" s="5" t="s">
        <v>36</v>
      </c>
      <c r="C11" s="5" t="s">
        <v>37</v>
      </c>
      <c r="D11" s="4">
        <v>2025</v>
      </c>
      <c r="E11" s="4" t="s">
        <v>19</v>
      </c>
      <c r="F11" s="4">
        <v>32</v>
      </c>
      <c r="G11" s="4" t="s">
        <v>38</v>
      </c>
      <c r="H11" s="4"/>
      <c r="I11" s="4"/>
      <c r="J11" s="4">
        <v>0.21</v>
      </c>
      <c r="K11" s="4">
        <v>0.108</v>
      </c>
      <c r="L11" s="4"/>
      <c r="M11" s="5">
        <v>575</v>
      </c>
      <c r="N11" s="5" t="s">
        <v>21</v>
      </c>
      <c r="O11" s="5">
        <v>1.8</v>
      </c>
      <c r="P11" s="5" t="s">
        <v>32</v>
      </c>
      <c r="Q11" s="5">
        <v>128</v>
      </c>
    </row>
    <row r="12" ht="18" spans="1:17">
      <c r="A12" s="4">
        <v>11</v>
      </c>
      <c r="B12" s="5" t="s">
        <v>39</v>
      </c>
      <c r="C12" s="5" t="s">
        <v>37</v>
      </c>
      <c r="D12" s="4">
        <v>2025</v>
      </c>
      <c r="E12" s="4" t="s">
        <v>19</v>
      </c>
      <c r="F12" s="4">
        <v>32</v>
      </c>
      <c r="G12" s="4" t="s">
        <v>38</v>
      </c>
      <c r="H12" s="4"/>
      <c r="I12" s="4"/>
      <c r="J12" s="4">
        <v>0.15</v>
      </c>
      <c r="K12" s="4"/>
      <c r="L12" s="4"/>
      <c r="M12" s="5">
        <v>575</v>
      </c>
      <c r="N12" s="5" t="s">
        <v>21</v>
      </c>
      <c r="O12" s="5">
        <v>1.8</v>
      </c>
      <c r="P12" s="5" t="s">
        <v>32</v>
      </c>
      <c r="Q12" s="5">
        <v>128</v>
      </c>
    </row>
    <row r="13" ht="18" spans="1:17">
      <c r="A13" s="4">
        <v>12</v>
      </c>
      <c r="B13" s="5" t="s">
        <v>40</v>
      </c>
      <c r="C13" s="5" t="s">
        <v>18</v>
      </c>
      <c r="D13" s="4">
        <v>2022</v>
      </c>
      <c r="E13" s="4" t="s">
        <v>19</v>
      </c>
      <c r="F13" s="4">
        <v>80</v>
      </c>
      <c r="G13" s="4" t="s">
        <v>29</v>
      </c>
      <c r="H13" s="4"/>
      <c r="I13" s="4"/>
      <c r="J13" s="4">
        <v>1</v>
      </c>
      <c r="K13" s="4">
        <v>0.495</v>
      </c>
      <c r="L13" s="4">
        <v>0.067</v>
      </c>
      <c r="M13" s="5">
        <v>700</v>
      </c>
      <c r="N13" s="5" t="s">
        <v>27</v>
      </c>
      <c r="O13" s="5">
        <v>3.35</v>
      </c>
      <c r="P13" s="5" t="s">
        <v>22</v>
      </c>
      <c r="Q13" s="5">
        <v>900</v>
      </c>
    </row>
    <row r="14" ht="18" spans="1:17">
      <c r="A14" s="4">
        <v>13</v>
      </c>
      <c r="B14" s="5" t="s">
        <v>40</v>
      </c>
      <c r="C14" s="5" t="s">
        <v>32</v>
      </c>
      <c r="D14" s="4">
        <v>2022</v>
      </c>
      <c r="E14" s="4" t="s">
        <v>19</v>
      </c>
      <c r="F14" s="4">
        <v>80</v>
      </c>
      <c r="G14" s="4" t="s">
        <v>29</v>
      </c>
      <c r="H14" s="4"/>
      <c r="I14" s="4"/>
      <c r="J14" s="4">
        <v>0.8</v>
      </c>
      <c r="K14" s="4">
        <v>0.378</v>
      </c>
      <c r="L14" s="4">
        <v>0.051</v>
      </c>
      <c r="M14" s="5">
        <v>350</v>
      </c>
      <c r="N14" s="5" t="s">
        <v>27</v>
      </c>
      <c r="O14" s="5">
        <v>2</v>
      </c>
      <c r="P14" s="5" t="s">
        <v>32</v>
      </c>
      <c r="Q14" s="5">
        <v>128</v>
      </c>
    </row>
    <row r="15" ht="18" spans="1:17">
      <c r="A15" s="4">
        <v>14</v>
      </c>
      <c r="B15" s="5" t="s">
        <v>41</v>
      </c>
      <c r="C15" s="5" t="s">
        <v>18</v>
      </c>
      <c r="D15" s="4">
        <v>2023</v>
      </c>
      <c r="E15" s="4" t="s">
        <v>19</v>
      </c>
      <c r="F15" s="4">
        <v>80</v>
      </c>
      <c r="G15" s="4" t="s">
        <v>29</v>
      </c>
      <c r="H15" s="4"/>
      <c r="I15" s="4"/>
      <c r="J15" s="4">
        <v>1</v>
      </c>
      <c r="K15" s="4">
        <v>0.495</v>
      </c>
      <c r="L15" s="4">
        <v>0.001</v>
      </c>
      <c r="M15" s="5">
        <v>700</v>
      </c>
      <c r="N15" s="5" t="s">
        <v>27</v>
      </c>
      <c r="O15" s="5">
        <v>3.35</v>
      </c>
      <c r="P15" s="5" t="s">
        <v>22</v>
      </c>
      <c r="Q15" s="5">
        <v>400</v>
      </c>
    </row>
    <row r="16" ht="18" spans="1:17">
      <c r="A16" s="4">
        <v>15</v>
      </c>
      <c r="B16" s="5" t="s">
        <v>41</v>
      </c>
      <c r="C16" s="5" t="s">
        <v>32</v>
      </c>
      <c r="D16" s="4">
        <v>2023</v>
      </c>
      <c r="E16" s="4" t="s">
        <v>19</v>
      </c>
      <c r="F16" s="4">
        <v>80</v>
      </c>
      <c r="G16" s="4" t="s">
        <v>29</v>
      </c>
      <c r="H16" s="4"/>
      <c r="I16" s="4"/>
      <c r="J16" s="4">
        <v>0.8</v>
      </c>
      <c r="K16" s="4">
        <v>0.378</v>
      </c>
      <c r="L16" s="4">
        <v>0.0008</v>
      </c>
      <c r="M16" s="5">
        <v>350</v>
      </c>
      <c r="N16" s="5" t="s">
        <v>27</v>
      </c>
      <c r="O16" s="5">
        <v>2</v>
      </c>
      <c r="P16" s="5" t="s">
        <v>32</v>
      </c>
      <c r="Q16" s="5">
        <v>128</v>
      </c>
    </row>
    <row r="17" ht="18" spans="1:17">
      <c r="A17" s="4">
        <v>16</v>
      </c>
      <c r="B17" s="5" t="s">
        <v>42</v>
      </c>
      <c r="C17" s="5" t="s">
        <v>37</v>
      </c>
      <c r="D17" s="4">
        <v>2025</v>
      </c>
      <c r="E17" s="4" t="s">
        <v>19</v>
      </c>
      <c r="F17" s="4">
        <v>96</v>
      </c>
      <c r="G17" s="4" t="s">
        <v>38</v>
      </c>
      <c r="H17" s="4">
        <v>2</v>
      </c>
      <c r="I17" s="4">
        <v>1</v>
      </c>
      <c r="J17" s="4">
        <v>0.5</v>
      </c>
      <c r="K17" s="4"/>
      <c r="L17" s="4"/>
      <c r="M17" s="5">
        <v>600</v>
      </c>
      <c r="N17" s="5" t="s">
        <v>21</v>
      </c>
      <c r="O17" s="5">
        <v>1.6</v>
      </c>
      <c r="P17" s="5" t="s">
        <v>32</v>
      </c>
      <c r="Q17" s="5">
        <v>128</v>
      </c>
    </row>
    <row r="18" ht="18" spans="1:17">
      <c r="A18" s="4">
        <v>17</v>
      </c>
      <c r="B18" s="5" t="s">
        <v>43</v>
      </c>
      <c r="C18" s="5" t="s">
        <v>18</v>
      </c>
      <c r="D18" s="4">
        <v>2020</v>
      </c>
      <c r="E18" s="4" t="s">
        <v>19</v>
      </c>
      <c r="F18" s="4">
        <v>80</v>
      </c>
      <c r="G18" s="4" t="s">
        <v>44</v>
      </c>
      <c r="H18" s="4"/>
      <c r="I18" s="4"/>
      <c r="J18" s="4">
        <v>0.3</v>
      </c>
      <c r="K18" s="4">
        <v>0.156</v>
      </c>
      <c r="L18" s="4">
        <v>0.0195</v>
      </c>
      <c r="M18" s="5">
        <v>400</v>
      </c>
      <c r="N18" s="5" t="s">
        <v>45</v>
      </c>
      <c r="O18" s="5">
        <v>2</v>
      </c>
      <c r="P18" s="5" t="s">
        <v>32</v>
      </c>
      <c r="Q18" s="5">
        <v>128</v>
      </c>
    </row>
    <row r="19" ht="18" spans="1:17">
      <c r="A19" s="4">
        <v>18</v>
      </c>
      <c r="B19" s="5" t="s">
        <v>43</v>
      </c>
      <c r="C19" s="5" t="s">
        <v>32</v>
      </c>
      <c r="D19" s="4">
        <v>2020</v>
      </c>
      <c r="E19" s="4" t="s">
        <v>19</v>
      </c>
      <c r="F19" s="4">
        <v>80</v>
      </c>
      <c r="G19" s="4" t="s">
        <v>44</v>
      </c>
      <c r="H19" s="4"/>
      <c r="I19" s="4"/>
      <c r="J19" s="4">
        <v>0.3</v>
      </c>
      <c r="K19" s="4">
        <v>0.156</v>
      </c>
      <c r="L19" s="4">
        <v>0.0195</v>
      </c>
      <c r="M19" s="5">
        <v>300</v>
      </c>
      <c r="N19" s="5" t="s">
        <v>45</v>
      </c>
      <c r="O19" s="5">
        <v>2</v>
      </c>
      <c r="P19" s="5" t="s">
        <v>32</v>
      </c>
      <c r="Q19" s="5">
        <v>64</v>
      </c>
    </row>
    <row r="20" ht="18" spans="1:17">
      <c r="A20" s="4">
        <v>19</v>
      </c>
      <c r="B20" s="5" t="s">
        <v>46</v>
      </c>
      <c r="C20" s="5" t="s">
        <v>18</v>
      </c>
      <c r="D20" s="4">
        <v>2022</v>
      </c>
      <c r="E20" s="4" t="s">
        <v>19</v>
      </c>
      <c r="F20" s="4">
        <v>80</v>
      </c>
      <c r="G20" s="4" t="s">
        <v>44</v>
      </c>
      <c r="H20" s="4"/>
      <c r="I20" s="4"/>
      <c r="J20" s="4">
        <v>0.3</v>
      </c>
      <c r="K20" s="4">
        <v>0.156</v>
      </c>
      <c r="L20" s="4">
        <v>0.0195</v>
      </c>
      <c r="M20" s="5">
        <v>400</v>
      </c>
      <c r="N20" s="5" t="s">
        <v>45</v>
      </c>
      <c r="O20" s="5">
        <v>2</v>
      </c>
      <c r="P20" s="5" t="s">
        <v>22</v>
      </c>
      <c r="Q20" s="5">
        <v>400</v>
      </c>
    </row>
    <row r="21" ht="18" spans="1:17">
      <c r="A21" s="4">
        <v>20</v>
      </c>
      <c r="B21" s="5" t="s">
        <v>46</v>
      </c>
      <c r="C21" s="5" t="s">
        <v>32</v>
      </c>
      <c r="D21" s="4">
        <v>2022</v>
      </c>
      <c r="E21" s="4" t="s">
        <v>19</v>
      </c>
      <c r="F21" s="4">
        <v>80</v>
      </c>
      <c r="G21" s="4" t="s">
        <v>44</v>
      </c>
      <c r="H21" s="4"/>
      <c r="I21" s="4"/>
      <c r="J21" s="4">
        <v>0.3</v>
      </c>
      <c r="K21" s="4">
        <v>0.156</v>
      </c>
      <c r="L21" s="4">
        <v>0.0195</v>
      </c>
      <c r="M21" s="5">
        <v>300</v>
      </c>
      <c r="N21" s="5" t="s">
        <v>45</v>
      </c>
      <c r="O21" s="5">
        <v>2</v>
      </c>
      <c r="P21" s="5" t="s">
        <v>32</v>
      </c>
      <c r="Q21" s="5">
        <v>64</v>
      </c>
    </row>
    <row r="22" ht="18" spans="1:17">
      <c r="A22" s="4">
        <v>21</v>
      </c>
      <c r="B22" s="5" t="s">
        <v>47</v>
      </c>
      <c r="C22" s="4" t="s">
        <v>48</v>
      </c>
      <c r="D22" s="4">
        <v>2026</v>
      </c>
      <c r="E22" s="4"/>
      <c r="F22" s="4"/>
      <c r="G22" s="4"/>
      <c r="H22" s="4"/>
      <c r="I22" s="4">
        <v>0.755</v>
      </c>
      <c r="J22" s="4">
        <v>0.425</v>
      </c>
      <c r="K22" s="4"/>
      <c r="L22" s="4"/>
      <c r="M22" s="5"/>
      <c r="N22" s="5"/>
      <c r="O22" s="5">
        <v>1.6</v>
      </c>
      <c r="P22" s="5"/>
      <c r="Q22" s="5">
        <v>2000</v>
      </c>
    </row>
    <row r="23" spans="1:17">
      <c r="A23" s="4">
        <v>22</v>
      </c>
      <c r="B23" s="4" t="s">
        <v>49</v>
      </c>
      <c r="C23" s="4" t="s">
        <v>48</v>
      </c>
      <c r="D23" s="4">
        <v>2025</v>
      </c>
      <c r="E23" s="4" t="s">
        <v>50</v>
      </c>
      <c r="F23" s="4">
        <v>128</v>
      </c>
      <c r="G23" s="4" t="s">
        <v>44</v>
      </c>
      <c r="H23" s="4"/>
      <c r="I23" s="4">
        <v>1.5</v>
      </c>
      <c r="J23" s="4">
        <v>0.75</v>
      </c>
      <c r="K23" s="4"/>
      <c r="L23" s="4"/>
      <c r="M23" s="4">
        <v>310</v>
      </c>
      <c r="N23" s="4"/>
      <c r="O23" s="4">
        <v>3.2</v>
      </c>
      <c r="P23" s="4" t="s">
        <v>51</v>
      </c>
      <c r="Q23" s="4">
        <v>784</v>
      </c>
    </row>
    <row r="24" spans="1:17">
      <c r="A24" s="4">
        <v>23</v>
      </c>
      <c r="B24" s="4" t="s">
        <v>49</v>
      </c>
      <c r="C24" s="4" t="s">
        <v>48</v>
      </c>
      <c r="D24" s="4">
        <v>2025</v>
      </c>
      <c r="E24" s="4" t="s">
        <v>50</v>
      </c>
      <c r="F24" s="4">
        <v>128</v>
      </c>
      <c r="G24" s="4" t="s">
        <v>44</v>
      </c>
      <c r="H24" s="4"/>
      <c r="I24" s="4"/>
      <c r="J24" s="4">
        <v>0.56</v>
      </c>
      <c r="K24" s="4"/>
      <c r="L24" s="4"/>
      <c r="M24" s="4">
        <v>310</v>
      </c>
      <c r="N24" s="4"/>
      <c r="O24" s="4">
        <v>3.2</v>
      </c>
      <c r="P24" s="4" t="s">
        <v>51</v>
      </c>
      <c r="Q24" s="4">
        <v>784</v>
      </c>
    </row>
    <row r="25" spans="1:17">
      <c r="A25" s="4">
        <v>24</v>
      </c>
      <c r="B25" s="4" t="s">
        <v>52</v>
      </c>
      <c r="C25" s="4" t="s">
        <v>48</v>
      </c>
      <c r="D25" s="4">
        <v>2023</v>
      </c>
      <c r="E25" s="4" t="s">
        <v>50</v>
      </c>
      <c r="F25" s="4">
        <v>64</v>
      </c>
      <c r="G25" s="4" t="s">
        <v>44</v>
      </c>
      <c r="H25" s="4"/>
      <c r="I25" s="4">
        <v>0.64</v>
      </c>
      <c r="J25" s="4">
        <v>0.32</v>
      </c>
      <c r="K25" s="4"/>
      <c r="L25" s="4"/>
      <c r="M25" s="4"/>
      <c r="N25" s="4"/>
      <c r="O25" s="4">
        <v>0.4</v>
      </c>
      <c r="P25" s="4" t="s">
        <v>51</v>
      </c>
      <c r="Q25" s="4">
        <v>400</v>
      </c>
    </row>
    <row r="26" spans="1:17">
      <c r="A26" s="4">
        <v>25</v>
      </c>
      <c r="B26" s="4" t="s">
        <v>53</v>
      </c>
      <c r="C26" s="4" t="s">
        <v>48</v>
      </c>
      <c r="D26" s="4">
        <v>2025</v>
      </c>
      <c r="E26" s="4" t="s">
        <v>54</v>
      </c>
      <c r="F26" s="4">
        <v>64</v>
      </c>
      <c r="G26" s="4" t="s">
        <v>44</v>
      </c>
      <c r="H26" s="4"/>
      <c r="I26" s="4">
        <v>0.96</v>
      </c>
      <c r="J26" s="4">
        <v>0.48</v>
      </c>
      <c r="K26" s="4">
        <v>0.06</v>
      </c>
      <c r="L26" s="4">
        <v>0.03</v>
      </c>
      <c r="M26" s="4">
        <v>800</v>
      </c>
      <c r="N26" s="4"/>
      <c r="O26" s="4">
        <v>1.6</v>
      </c>
      <c r="P26" s="4" t="s">
        <v>55</v>
      </c>
      <c r="Q26" s="4">
        <v>448</v>
      </c>
    </row>
    <row r="27" spans="1:17">
      <c r="A27" s="4">
        <v>26</v>
      </c>
      <c r="B27" s="4" t="s">
        <v>56</v>
      </c>
      <c r="C27" s="4" t="s">
        <v>48</v>
      </c>
      <c r="D27" s="4">
        <v>2025</v>
      </c>
      <c r="E27" s="4" t="s">
        <v>57</v>
      </c>
      <c r="F27" s="4">
        <v>80</v>
      </c>
      <c r="G27" s="4"/>
      <c r="H27" s="4"/>
      <c r="I27" s="4">
        <v>1.024</v>
      </c>
      <c r="J27" s="4">
        <v>0.512</v>
      </c>
      <c r="K27" s="4">
        <v>0.032</v>
      </c>
      <c r="L27" s="4">
        <v>0.016</v>
      </c>
      <c r="M27" s="4">
        <v>1000</v>
      </c>
      <c r="N27" s="4"/>
      <c r="O27" s="4">
        <v>1.6</v>
      </c>
      <c r="P27" s="4"/>
      <c r="Q27" s="4">
        <v>800</v>
      </c>
    </row>
    <row r="28" spans="1:17">
      <c r="A28" s="4">
        <v>27</v>
      </c>
      <c r="B28" s="4" t="s">
        <v>58</v>
      </c>
      <c r="C28" s="4" t="s">
        <v>48</v>
      </c>
      <c r="D28" s="4"/>
      <c r="E28" s="4" t="s">
        <v>59</v>
      </c>
      <c r="F28" s="4">
        <v>96</v>
      </c>
      <c r="G28" s="4" t="s">
        <v>44</v>
      </c>
      <c r="H28" s="4"/>
      <c r="I28" s="4"/>
      <c r="J28" s="4">
        <v>0.256</v>
      </c>
      <c r="K28" s="4"/>
      <c r="L28" s="4"/>
      <c r="M28" s="4"/>
      <c r="N28" s="4"/>
      <c r="O28" s="4"/>
      <c r="P28" s="4"/>
      <c r="Q28" s="4"/>
    </row>
    <row r="29" spans="1:17">
      <c r="A29" s="4">
        <v>28</v>
      </c>
      <c r="B29" s="4" t="s">
        <v>60</v>
      </c>
      <c r="C29" s="4" t="s">
        <v>48</v>
      </c>
      <c r="D29" s="4">
        <v>2025</v>
      </c>
      <c r="E29" s="4" t="s">
        <v>61</v>
      </c>
      <c r="F29" s="4">
        <v>288</v>
      </c>
      <c r="G29" s="4" t="s">
        <v>20</v>
      </c>
      <c r="H29" s="4">
        <v>10.1</v>
      </c>
      <c r="I29" s="4">
        <v>5</v>
      </c>
      <c r="J29" s="4">
        <v>2.5</v>
      </c>
      <c r="K29" s="4">
        <v>0.1573</v>
      </c>
      <c r="L29" s="4">
        <v>0.0786</v>
      </c>
      <c r="M29" s="4">
        <v>1400</v>
      </c>
      <c r="N29" s="4"/>
      <c r="O29" s="4">
        <v>8</v>
      </c>
      <c r="P29" s="4"/>
      <c r="Q29" s="4">
        <v>153.6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J7" sqref="J7"/>
    </sheetView>
  </sheetViews>
  <sheetFormatPr defaultColWidth="9.23076923076923" defaultRowHeight="17.6"/>
  <cols>
    <col min="1" max="1" width="9.23076923076923" style="1"/>
    <col min="2" max="2" width="27.8461538461538" style="1" customWidth="1"/>
    <col min="3" max="3" width="13.6153846153846" style="1" customWidth="1"/>
    <col min="4" max="5" width="9.23076923076923" style="1"/>
    <col min="6" max="6" width="20.0769230769231" style="1" customWidth="1"/>
    <col min="7" max="7" width="26.6153846153846" style="1" customWidth="1"/>
    <col min="8" max="8" width="21.3846153846154" style="1" customWidth="1"/>
    <col min="9" max="9" width="18.7692307692308" style="1" customWidth="1"/>
    <col min="10" max="10" width="29.1538461538462" style="1" customWidth="1"/>
    <col min="11" max="16384" width="9.23076923076923" style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>
      <c r="A2" s="1">
        <v>1</v>
      </c>
      <c r="B2" s="1" t="s">
        <v>71</v>
      </c>
      <c r="C2" s="1" t="s">
        <v>50</v>
      </c>
      <c r="D2" s="1" t="s">
        <v>49</v>
      </c>
      <c r="E2" s="1">
        <v>8</v>
      </c>
      <c r="F2" s="1">
        <v>10</v>
      </c>
      <c r="G2" s="1">
        <f>芯片数据!J24*8</f>
        <v>4.48</v>
      </c>
      <c r="H2" s="1">
        <v>14.6</v>
      </c>
      <c r="I2" s="1" t="s">
        <v>72</v>
      </c>
      <c r="J2" s="1" t="s">
        <v>73</v>
      </c>
    </row>
    <row r="3" spans="1:10">
      <c r="A3" s="1">
        <v>2</v>
      </c>
      <c r="B3" s="1" t="s">
        <v>74</v>
      </c>
      <c r="C3" s="1" t="s">
        <v>50</v>
      </c>
      <c r="D3" s="1" t="s">
        <v>49</v>
      </c>
      <c r="E3" s="1">
        <v>8</v>
      </c>
      <c r="F3" s="1">
        <v>10</v>
      </c>
      <c r="G3" s="1">
        <f>芯片数据!J23*8</f>
        <v>6</v>
      </c>
      <c r="H3" s="1">
        <v>16.2</v>
      </c>
      <c r="I3" s="1" t="s">
        <v>72</v>
      </c>
    </row>
    <row r="4" spans="1:10">
      <c r="A4" s="1">
        <v>3</v>
      </c>
      <c r="B4" s="1" t="s">
        <v>75</v>
      </c>
      <c r="C4" s="1" t="s">
        <v>54</v>
      </c>
      <c r="D4" s="1" t="s">
        <v>53</v>
      </c>
      <c r="E4" s="1">
        <v>8</v>
      </c>
      <c r="G4" s="1">
        <f>芯片数据!J26*E4</f>
        <v>3.84</v>
      </c>
      <c r="H4" s="1">
        <v>12</v>
      </c>
      <c r="I4" s="1" t="s">
        <v>76</v>
      </c>
    </row>
    <row r="5" spans="1:10">
      <c r="A5" s="1">
        <v>4</v>
      </c>
      <c r="B5" s="1" t="s">
        <v>77</v>
      </c>
      <c r="C5" s="1" t="s">
        <v>57</v>
      </c>
      <c r="D5" s="1" t="s">
        <v>56</v>
      </c>
      <c r="E5" s="1">
        <v>8</v>
      </c>
      <c r="F5" s="1">
        <v>8</v>
      </c>
      <c r="G5" s="1">
        <f>芯片数据!J27*E5</f>
        <v>4.096</v>
      </c>
      <c r="H5" s="1">
        <v>12</v>
      </c>
      <c r="I5" s="1" t="s">
        <v>76</v>
      </c>
    </row>
    <row r="6" spans="1:10">
      <c r="A6" s="1">
        <v>5</v>
      </c>
      <c r="B6" s="1" t="s">
        <v>78</v>
      </c>
      <c r="C6" s="1" t="s">
        <v>19</v>
      </c>
      <c r="D6" s="1" t="s">
        <v>23</v>
      </c>
      <c r="E6" s="1">
        <v>8</v>
      </c>
      <c r="F6" s="1">
        <v>10</v>
      </c>
      <c r="G6" s="1">
        <f>芯片数据!J3*E6</f>
        <v>18</v>
      </c>
      <c r="H6" s="1">
        <v>16</v>
      </c>
      <c r="I6" s="1" t="s">
        <v>76</v>
      </c>
      <c r="J6" s="1" t="s">
        <v>79</v>
      </c>
    </row>
    <row r="7" spans="1:10">
      <c r="A7" s="1">
        <v>6</v>
      </c>
      <c r="B7" s="1" t="s">
        <v>80</v>
      </c>
      <c r="C7" s="1" t="s">
        <v>19</v>
      </c>
      <c r="D7" s="1" t="s">
        <v>26</v>
      </c>
      <c r="E7" s="1">
        <v>8</v>
      </c>
      <c r="G7" s="1">
        <f>芯片数据!J6*E7</f>
        <v>7.912</v>
      </c>
      <c r="H7" s="1">
        <v>12</v>
      </c>
      <c r="I7" s="1" t="s">
        <v>76</v>
      </c>
    </row>
    <row r="8" spans="1:10">
      <c r="A8" s="1">
        <v>7</v>
      </c>
      <c r="B8" s="1" t="s">
        <v>81</v>
      </c>
      <c r="C8" s="1" t="s">
        <v>19</v>
      </c>
      <c r="D8" s="1" t="s">
        <v>82</v>
      </c>
      <c r="E8" s="1">
        <v>8</v>
      </c>
      <c r="G8" s="1">
        <f>芯片数据!J7*E8</f>
        <v>1.184</v>
      </c>
      <c r="I8" s="1" t="s">
        <v>72</v>
      </c>
    </row>
    <row r="9" spans="1:10">
      <c r="A9" s="1">
        <v>8</v>
      </c>
      <c r="B9" s="1" t="s">
        <v>83</v>
      </c>
      <c r="C9" s="1" t="s">
        <v>19</v>
      </c>
      <c r="D9" s="2">
        <v>4090</v>
      </c>
      <c r="E9" s="1">
        <v>8</v>
      </c>
      <c r="I9" s="1" t="s">
        <v>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"/>
  <sheetViews>
    <sheetView workbookViewId="0">
      <selection activeCell="I9" sqref="I9"/>
    </sheetView>
  </sheetViews>
  <sheetFormatPr defaultColWidth="9.23076923076923" defaultRowHeight="17.6" outlineLevelRow="2"/>
  <cols>
    <col min="1" max="1" width="9.23076923076923" style="1"/>
    <col min="2" max="2" width="13.6153846153846" style="1" customWidth="1"/>
    <col min="3" max="3" width="9.23076923076923" style="1"/>
    <col min="4" max="4" width="11" style="1" customWidth="1"/>
    <col min="5" max="5" width="9.23076923076923" style="1"/>
    <col min="6" max="6" width="37" style="1" customWidth="1"/>
    <col min="7" max="7" width="35.6923076923077" style="1" customWidth="1"/>
    <col min="8" max="8" width="20.0769230769231" style="1" customWidth="1"/>
    <col min="9" max="9" width="43.4615384615385" style="1" customWidth="1"/>
    <col min="10" max="10" width="26.6153846153846" style="1" customWidth="1"/>
    <col min="11" max="11" width="21.3846153846154" style="1" customWidth="1"/>
    <col min="12" max="12" width="18.7692307692308" style="1" customWidth="1"/>
    <col min="13" max="16384" width="9.23076923076923" style="1"/>
  </cols>
  <sheetData>
    <row r="1" spans="2:12">
      <c r="B1" s="1" t="s">
        <v>84</v>
      </c>
      <c r="C1" s="1" t="s">
        <v>63</v>
      </c>
      <c r="D1" s="1" t="s">
        <v>85</v>
      </c>
      <c r="E1" s="1" t="s">
        <v>64</v>
      </c>
      <c r="F1" s="1" t="s">
        <v>86</v>
      </c>
      <c r="G1" s="1" t="s">
        <v>87</v>
      </c>
      <c r="H1" s="1" t="s">
        <v>66</v>
      </c>
      <c r="I1" s="1" t="s">
        <v>88</v>
      </c>
      <c r="J1" s="1" t="s">
        <v>89</v>
      </c>
      <c r="K1" s="1" t="s">
        <v>90</v>
      </c>
      <c r="L1" s="1" t="s">
        <v>69</v>
      </c>
    </row>
    <row r="2" spans="2:12">
      <c r="B2" s="1" t="s">
        <v>91</v>
      </c>
      <c r="C2" s="1" t="s">
        <v>50</v>
      </c>
      <c r="D2" s="1">
        <v>384</v>
      </c>
      <c r="E2" s="1" t="s">
        <v>49</v>
      </c>
      <c r="F2" s="1">
        <v>8</v>
      </c>
      <c r="G2" s="1">
        <v>48</v>
      </c>
      <c r="I2" s="1">
        <f>芯片数据!J23*8</f>
        <v>6</v>
      </c>
      <c r="J2" s="1">
        <f>G2*I2</f>
        <v>288</v>
      </c>
      <c r="K2" s="1">
        <v>54</v>
      </c>
      <c r="L2" s="1" t="s">
        <v>92</v>
      </c>
    </row>
    <row r="3" spans="2:12">
      <c r="B3" s="1" t="s">
        <v>93</v>
      </c>
      <c r="C3" s="1" t="s">
        <v>19</v>
      </c>
      <c r="D3" s="1">
        <v>72</v>
      </c>
      <c r="E3" s="1" t="s">
        <v>25</v>
      </c>
      <c r="F3" s="1">
        <v>4</v>
      </c>
      <c r="G3" s="1">
        <v>18</v>
      </c>
      <c r="I3" s="1">
        <f>F3*芯片数据!J5</f>
        <v>10</v>
      </c>
      <c r="J3" s="1">
        <f>芯片数据!J5*72</f>
        <v>180</v>
      </c>
      <c r="K3" s="1">
        <v>142</v>
      </c>
      <c r="L3" s="1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芯片数据</vt:lpstr>
      <vt:lpstr>服务器数据</vt:lpstr>
      <vt:lpstr>超节点数据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</dc:creator>
  <cp:lastModifiedBy>秦现强</cp:lastModifiedBy>
  <dcterms:created xsi:type="dcterms:W3CDTF">2026-06-29T07:34:00Z</dcterms:created>
  <dcterms:modified xsi:type="dcterms:W3CDTF">2026-06-30T17:09:36Z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7AAFED5BBABDED5081CE406AC8F94B66_41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